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ashboard" sheetId="2" state="visible" r:id="rId4"/>
    <sheet name="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<sst xmlns="http://schemas.openxmlformats.org/spreadsheetml/2006/main" count="104" uniqueCount="91">
  <si>
    <t xml:space="preserve">Florida Kimono — Outreach Tracker</t>
  </si>
  <si>
    <t xml:space="preserve">A working CRM for the club's community outreach program: people and businesses to contact, one row per contact.</t>
  </si>
  <si>
    <t xml:space="preserve">What this is</t>
  </si>
  <si>
    <t xml:space="preserve">The 'Tracker' tab is the master list of outreach targets — media, nonprofits, cultural associations, chambers, businesses, and individuals connected to the Orlando-area (and wider Florida) Asian-American and Japanese-culture community. The 'Dashboard' tab summarizes progress automatically.</t>
  </si>
  <si>
    <t xml:space="preserve">How to add a contact</t>
  </si>
  <si>
    <t xml:space="preserve">Add a new row at the bottom of the Tracker tab. Priority, Category, and Status are dropdowns — click the cell and choose from the list. Everything else is free text.</t>
  </si>
  <si>
    <t xml:space="preserve">Status definitions</t>
  </si>
  <si>
    <t xml:space="preserve">Not Contacted — identified as a target, no outreach sent yet.</t>
  </si>
  <si>
    <t xml:space="preserve">Contacted — first email/call/message sent, awaiting reply.</t>
  </si>
  <si>
    <t xml:space="preserve">Follow-up Needed — they responded or went quiet; a next action is due.</t>
  </si>
  <si>
    <t xml:space="preserve">Meeting Scheduled — a call, coffee, or event meetup is booked.</t>
  </si>
  <si>
    <t xml:space="preserve">Partnered — an active collaboration (event listing, cross-promotion, co-hosted event, etc.).</t>
  </si>
  <si>
    <t xml:space="preserve">Declined / Not a Fit — pursued and closed out, no further action.</t>
  </si>
  <si>
    <t xml:space="preserve">Seeded rows</t>
  </si>
  <si>
    <t xml:space="preserve">Rows shaded green were pre-filled from public sources as starting points (see the Source column in each row). Verify details before sending outreach, since public listings go stale.</t>
  </si>
  <si>
    <t xml:space="preserve">Dashboard</t>
  </si>
  <si>
    <t xml:space="preserve">Counts on the Dashboard tab are formulas (COUNTIF/COUNTIFS) driven off the Tracker tab — they update automatically as you add rows or change Status.</t>
  </si>
  <si>
    <t xml:space="preserve">Outreach Dashboard</t>
  </si>
  <si>
    <t xml:space="preserve">Auto-calculated from the Tracker tab</t>
  </si>
  <si>
    <t xml:space="preserve">Total contacts tracked</t>
  </si>
  <si>
    <t xml:space="preserve">By Status</t>
  </si>
  <si>
    <t xml:space="preserve">By Category</t>
  </si>
  <si>
    <t xml:space="preserve">Not Contacted</t>
  </si>
  <si>
    <t xml:space="preserve">Media</t>
  </si>
  <si>
    <t xml:space="preserve">Contacted</t>
  </si>
  <si>
    <t xml:space="preserve">Nonprofit / Community Org</t>
  </si>
  <si>
    <t xml:space="preserve">Follow-up Needed</t>
  </si>
  <si>
    <t xml:space="preserve">Chamber / Business Assoc.</t>
  </si>
  <si>
    <t xml:space="preserve">Meeting Scheduled</t>
  </si>
  <si>
    <t xml:space="preserve">Business</t>
  </si>
  <si>
    <t xml:space="preserve">Partnered</t>
  </si>
  <si>
    <t xml:space="preserve">Individual</t>
  </si>
  <si>
    <t xml:space="preserve">Declined / Not a Fit</t>
  </si>
  <si>
    <t xml:space="preserve">Government / Consulate</t>
  </si>
  <si>
    <t xml:space="preserve">Priority — High, not yet contacted</t>
  </si>
  <si>
    <t xml:space="preserve">Orlando-area outreach: media, cultural nonprofits, chambers, businesses, and individuals.</t>
  </si>
  <si>
    <t xml:space="preserve">Priority</t>
  </si>
  <si>
    <t xml:space="preserve">Category</t>
  </si>
  <si>
    <t xml:space="preserve">Organization</t>
  </si>
  <si>
    <t xml:space="preserve">Contact Name</t>
  </si>
  <si>
    <t xml:space="preserve">Title / Role</t>
  </si>
  <si>
    <t xml:space="preserve">City</t>
  </si>
  <si>
    <t xml:space="preserve">Email</t>
  </si>
  <si>
    <t xml:space="preserve">Phone</t>
  </si>
  <si>
    <t xml:space="preserve">Website</t>
  </si>
  <si>
    <t xml:space="preserve">Status</t>
  </si>
  <si>
    <t xml:space="preserve">Date First Contacted</t>
  </si>
  <si>
    <t xml:space="preserve">Next Action</t>
  </si>
  <si>
    <t xml:space="preserve">Next Action Date</t>
  </si>
  <si>
    <t xml:space="preserve">Owner</t>
  </si>
  <si>
    <t xml:space="preserve">Notes / Source</t>
  </si>
  <si>
    <t xml:space="preserve">High</t>
  </si>
  <si>
    <t xml:space="preserve">Example Org Name</t>
  </si>
  <si>
    <t xml:space="preserve">Jane Doe</t>
  </si>
  <si>
    <t xml:space="preserve">Program Director</t>
  </si>
  <si>
    <t xml:space="preserve">Orlando</t>
  </si>
  <si>
    <t xml:space="preserve">jane@example.org</t>
  </si>
  <si>
    <t xml:space="preserve">(555) 555-0100</t>
  </si>
  <si>
    <t xml:space="preserve">example.org</t>
  </si>
  <si>
    <t xml:space="preserve">Send intro email re: kimono demo at their next festival</t>
  </si>
  <si>
    <t xml:space="preserve">2026-09-01</t>
  </si>
  <si>
    <t xml:space="preserve">Rachael</t>
  </si>
  <si>
    <t xml:space="preserve">EXAMPLE ROW — delete or overwrite. Source: how you found them.</t>
  </si>
  <si>
    <t xml:space="preserve">Asia Trend / Asia Trend Community Learning Center</t>
  </si>
  <si>
    <t xml:space="preserve">Gary C.K. Lau</t>
  </si>
  <si>
    <t xml:space="preserve">Founder &amp; Executive Director</t>
  </si>
  <si>
    <t xml:space="preserve">Orlando / Winter Park</t>
  </si>
  <si>
    <t xml:space="preserve">info@asiatrend.org</t>
  </si>
  <si>
    <t xml:space="preserve">(646) 389-2742</t>
  </si>
  <si>
    <t xml:space="preserve">asiatrend.org</t>
  </si>
  <si>
    <t xml:space="preserve">Send intro email: propose listing Kimono Club events on Asia Trend's calendar, cross-promotion, and a kimono demo/booth at the Asian Cultural EXPO.</t>
  </si>
  <si>
    <t xml:space="preserve">Founded Asia Trend in 2005; runs the annual Asian Cultural EXPO/Festival and a community learning center. Strong first outreach target per club direction. Source: asiatrend.org, causeiq.com, clickorlando.com (2021).</t>
  </si>
  <si>
    <t xml:space="preserve">Japan Association of Orlando (JAO)</t>
  </si>
  <si>
    <t xml:space="preserve">jorlando.org</t>
  </si>
  <si>
    <t xml:space="preserve">Find current board/contact via jorlando.org; propose kimono showcase at the Orlando Japan Festival.</t>
  </si>
  <si>
    <t xml:space="preserve">501(c)(3); hosts the annual Orlando Japan Festival. Directly relevant given shared Japanese-culture focus. Source: jorlando.org, artsinorlando.com.</t>
  </si>
  <si>
    <t xml:space="preserve">Medium</t>
  </si>
  <si>
    <t xml:space="preserve">Asian American Chamber of Commerce of Central Florida</t>
  </si>
  <si>
    <t xml:space="preserve">Coco Johnston</t>
  </si>
  <si>
    <t xml:space="preserve">Principal Officer</t>
  </si>
  <si>
    <t xml:space="preserve">asianamericanchambercfl.org</t>
  </si>
  <si>
    <t xml:space="preserve">Reach out about member networking events and potential sponsors/venues for club events.</t>
  </si>
  <si>
    <t xml:space="preserve">3201 E Colonial Dr Unit A20, Orlando, FL 32803. Business-focused chamber, 38+ years active. Source: causeiq.com, asianamericanchambercfl.org.</t>
  </si>
  <si>
    <t xml:space="preserve">TO RESEARCH: Japanese language schools / weekend schools in Central Florida</t>
  </si>
  <si>
    <t xml:space="preserve">TO RESEARCH: Ikebana / tea ceremony / Japanese cultural instructors in Florida</t>
  </si>
  <si>
    <t xml:space="preserve">TO RESEARCH: UCF Asian American Student Union / UCF Japanese Culture Club</t>
  </si>
  <si>
    <t xml:space="preserve">TO RESEARCH: Anime &amp; pop-culture conventions (e.g. MegaCon) — cultural exhibitor outreach</t>
  </si>
  <si>
    <t xml:space="preserve">TO RESEARCH: Consulate-General of Japan in Miami — community events office</t>
  </si>
  <si>
    <t xml:space="preserve">TO RESEARCH: Local Japanese restaurants / grocery stores (potential venue or co-sponsor)</t>
  </si>
  <si>
    <t xml:space="preserve">TO RESEARCH: Sister-city organizations (Florida cities with Japanese sister cities)</t>
  </si>
  <si>
    <t xml:space="preserve">TO RESEARCH: Other Florida kimono / Japanese-culture individuals and instructors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</si>
</sst>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6D8"/>
        <bgColor rgb="FFE9F1E9"/>
      </patternFill>
    </fill>
    <fill>
      <patternFill patternType="solid">
        <fgColor rgb="FFE9F1E9"/>
        <bgColor rgb="FFFFF6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6D8"/>
      <rgbColor rgb="FFE9F1E9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27.75" hidden="false" customHeight="true" outlineLevel="0" collapsed="false">
      <c r="A8" s="4" t="s">
        <v>5</v>
      </c>
    </row>
    <row r="10" customFormat="false" ht="15" hidden="false" customHeight="false" outlineLevel="0" collapsed="false">
      <c r="A10" s="3" t="s">
        <v>6</v>
      </c>
    </row>
    <row r="11" customFormat="false" ht="27.75" hidden="false" customHeight="true" outlineLevel="0" collapsed="false">
      <c r="A11" s="4" t="s">
        <v>7</v>
      </c>
    </row>
    <row r="12" customFormat="false" ht="27.75" hidden="false" customHeight="true" outlineLevel="0" collapsed="false">
      <c r="A12" s="4" t="s">
        <v>8</v>
      </c>
    </row>
    <row r="13" customFormat="false" ht="27.75" hidden="false" customHeight="true" outlineLevel="0" collapsed="false">
      <c r="A13" s="4" t="s">
        <v>9</v>
      </c>
    </row>
    <row r="14" customFormat="false" ht="27.75" hidden="false" customHeight="true" outlineLevel="0" collapsed="false">
      <c r="A14" s="4" t="s">
        <v>10</v>
      </c>
    </row>
    <row r="15" customFormat="false" ht="27.75" hidden="false" customHeight="true" outlineLevel="0" collapsed="false">
      <c r="A15" s="4" t="s">
        <v>11</v>
      </c>
    </row>
    <row r="16" customFormat="false" ht="27.75" hidden="false" customHeight="true" outlineLevel="0" collapsed="false">
      <c r="A16" s="4" t="s">
        <v>12</v>
      </c>
    </row>
    <row r="18" customFormat="false" ht="15" hidden="false" customHeight="false" outlineLevel="0" collapsed="false">
      <c r="A18" s="3" t="s">
        <v>13</v>
      </c>
    </row>
    <row r="19" customFormat="false" ht="27.75" hidden="false" customHeight="true" outlineLevel="0" collapsed="false">
      <c r="A19" s="4" t="s">
        <v>14</v>
      </c>
    </row>
    <row r="21" customFormat="false" ht="15" hidden="false" customHeight="false" outlineLevel="0" collapsed="false">
      <c r="A21" s="3" t="s">
        <v>15</v>
      </c>
    </row>
    <row r="22" customFormat="false" ht="27.75" hidden="false" customHeight="true" outlineLevel="0" collapsed="false">
      <c r="A22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6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false" outlineLevel="0" collapsed="false">
      <c r="A4" s="3" t="s">
        <v>19</v>
      </c>
      <c r="B4" s="5" t="n">
        <f aca="false">COUNTIF(Tracker!$C$6:$C$1000,"?*")</f>
        <v>4</v>
      </c>
    </row>
    <row r="6" customFormat="false" ht="15" hidden="false" customHeight="false" outlineLevel="0" collapsed="false">
      <c r="A6" s="3" t="s">
        <v>20</v>
      </c>
      <c r="D6" s="3" t="s">
        <v>21</v>
      </c>
    </row>
    <row r="7" customFormat="false" ht="15" hidden="false" customHeight="false" outlineLevel="0" collapsed="false">
      <c r="A7" s="5" t="s">
        <v>22</v>
      </c>
      <c r="B7" s="5" t="n">
        <f aca="false">COUNTIF(Tracker!$J$6:$J$1000,A7)</f>
        <v>4</v>
      </c>
      <c r="D7" s="5" t="s">
        <v>23</v>
      </c>
      <c r="E7" s="5" t="n">
        <f aca="false">COUNTIF(Tracker!$B$6:$B$1000,D7)</f>
        <v>1</v>
      </c>
    </row>
    <row r="8" customFormat="false" ht="15" hidden="false" customHeight="false" outlineLevel="0" collapsed="false">
      <c r="A8" s="5" t="s">
        <v>24</v>
      </c>
      <c r="B8" s="5" t="n">
        <f aca="false">COUNTIF(Tracker!$J$6:$J$1000,A8)</f>
        <v>0</v>
      </c>
      <c r="D8" s="5" t="s">
        <v>25</v>
      </c>
      <c r="E8" s="5" t="n">
        <f aca="false">COUNTIF(Tracker!$B$6:$B$1000,D8)</f>
        <v>2</v>
      </c>
    </row>
    <row r="9" customFormat="false" ht="15" hidden="false" customHeight="false" outlineLevel="0" collapsed="false">
      <c r="A9" s="5" t="s">
        <v>26</v>
      </c>
      <c r="B9" s="5" t="n">
        <f aca="false">COUNTIF(Tracker!$J$6:$J$1000,A9)</f>
        <v>0</v>
      </c>
      <c r="D9" s="5" t="s">
        <v>27</v>
      </c>
      <c r="E9" s="5" t="n">
        <f aca="false">COUNTIF(Tracker!$B$6:$B$1000,D9)</f>
        <v>1</v>
      </c>
    </row>
    <row r="10" customFormat="false" ht="15" hidden="false" customHeight="false" outlineLevel="0" collapsed="false">
      <c r="A10" s="5" t="s">
        <v>28</v>
      </c>
      <c r="B10" s="5" t="n">
        <f aca="false">COUNTIF(Tracker!$J$6:$J$1000,A10)</f>
        <v>0</v>
      </c>
      <c r="D10" s="5" t="s">
        <v>29</v>
      </c>
      <c r="E10" s="5" t="n">
        <f aca="false">COUNTIF(Tracker!$B$6:$B$1000,D10)</f>
        <v>0</v>
      </c>
    </row>
    <row r="11" customFormat="false" ht="15" hidden="false" customHeight="false" outlineLevel="0" collapsed="false">
      <c r="A11" s="5" t="s">
        <v>30</v>
      </c>
      <c r="B11" s="5" t="n">
        <f aca="false">COUNTIF(Tracker!$J$6:$J$1000,A11)</f>
        <v>0</v>
      </c>
      <c r="D11" s="5" t="s">
        <v>31</v>
      </c>
      <c r="E11" s="5" t="n">
        <f aca="false">COUNTIF(Tracker!$B$6:$B$1000,D11)</f>
        <v>0</v>
      </c>
    </row>
    <row r="12" customFormat="false" ht="15" hidden="false" customHeight="false" outlineLevel="0" collapsed="false">
      <c r="A12" s="5" t="s">
        <v>32</v>
      </c>
      <c r="B12" s="5" t="n">
        <f aca="false">COUNTIF(Tracker!$J$6:$J$1000,A12)</f>
        <v>0</v>
      </c>
      <c r="D12" s="5" t="s">
        <v>33</v>
      </c>
      <c r="E12" s="5" t="n">
        <f aca="false">COUNTIF(Tracker!$B$6:$B$1000,D12)</f>
        <v>0</v>
      </c>
    </row>
    <row r="15" customFormat="false" ht="15" hidden="false" customHeight="false" outlineLevel="0" collapsed="false">
      <c r="A15" s="3" t="s">
        <v>34</v>
      </c>
      <c r="B15" s="5" t="n">
        <f aca="false">COUNTIFS(Tracker!$A$6:$A$1000,"High",Tracker!$J$6:$J$1000,"Not Contacted")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1" min="10" style="0" width="16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5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35</v>
      </c>
    </row>
    <row r="5" customFormat="false" ht="30" hidden="false" customHeight="true" outlineLevel="0" collapsed="false">
      <c r="A5" s="6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  <c r="J5" s="6" t="s">
        <v>45</v>
      </c>
      <c r="K5" s="6" t="s">
        <v>46</v>
      </c>
      <c r="L5" s="6" t="s">
        <v>47</v>
      </c>
      <c r="M5" s="6" t="s">
        <v>48</v>
      </c>
      <c r="N5" s="6" t="s">
        <v>49</v>
      </c>
      <c r="O5" s="6" t="s">
        <v>50</v>
      </c>
    </row>
    <row r="6" customFormat="false" ht="39.75" hidden="false" customHeight="true" outlineLevel="0" collapsed="false">
      <c r="A6" s="7" t="s">
        <v>51</v>
      </c>
      <c r="B6" s="7" t="s">
        <v>25</v>
      </c>
      <c r="C6" s="7" t="s">
        <v>52</v>
      </c>
      <c r="D6" s="7" t="s">
        <v>53</v>
      </c>
      <c r="E6" s="7" t="s">
        <v>54</v>
      </c>
      <c r="F6" s="7" t="s">
        <v>55</v>
      </c>
      <c r="G6" s="7" t="s">
        <v>56</v>
      </c>
      <c r="H6" s="7" t="s">
        <v>57</v>
      </c>
      <c r="I6" s="7" t="s">
        <v>58</v>
      </c>
      <c r="J6" s="7" t="s">
        <v>22</v>
      </c>
      <c r="K6" s="7"/>
      <c r="L6" s="7" t="s">
        <v>59</v>
      </c>
      <c r="M6" s="7" t="s">
        <v>60</v>
      </c>
      <c r="N6" s="7" t="s">
        <v>61</v>
      </c>
      <c r="O6" s="7" t="s">
        <v>62</v>
      </c>
    </row>
    <row r="7" customFormat="false" ht="39.75" hidden="false" customHeight="true" outlineLevel="0" collapsed="false">
      <c r="A7" s="8" t="s">
        <v>51</v>
      </c>
      <c r="B7" s="8" t="s">
        <v>23</v>
      </c>
      <c r="C7" s="8" t="s">
        <v>63</v>
      </c>
      <c r="D7" s="8" t="s">
        <v>64</v>
      </c>
      <c r="E7" s="8" t="s">
        <v>65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22</v>
      </c>
      <c r="K7" s="8"/>
      <c r="L7" s="8" t="s">
        <v>70</v>
      </c>
      <c r="M7" s="8"/>
      <c r="N7" s="8"/>
      <c r="O7" s="8" t="s">
        <v>71</v>
      </c>
    </row>
    <row r="8" customFormat="false" ht="39.75" hidden="false" customHeight="true" outlineLevel="0" collapsed="false">
      <c r="A8" s="8" t="s">
        <v>51</v>
      </c>
      <c r="B8" s="8" t="s">
        <v>25</v>
      </c>
      <c r="C8" s="8" t="s">
        <v>72</v>
      </c>
      <c r="D8" s="8"/>
      <c r="E8" s="8"/>
      <c r="F8" s="8" t="s">
        <v>55</v>
      </c>
      <c r="G8" s="8"/>
      <c r="H8" s="8"/>
      <c r="I8" s="8" t="s">
        <v>73</v>
      </c>
      <c r="J8" s="8" t="s">
        <v>22</v>
      </c>
      <c r="K8" s="8"/>
      <c r="L8" s="8" t="s">
        <v>74</v>
      </c>
      <c r="M8" s="8"/>
      <c r="N8" s="8"/>
      <c r="O8" s="8" t="s">
        <v>75</v>
      </c>
    </row>
    <row r="9" customFormat="false" ht="39.75" hidden="false" customHeight="true" outlineLevel="0" collapsed="false">
      <c r="A9" s="8" t="s">
        <v>76</v>
      </c>
      <c r="B9" s="8" t="s">
        <v>27</v>
      </c>
      <c r="C9" s="8" t="s">
        <v>77</v>
      </c>
      <c r="D9" s="8" t="s">
        <v>78</v>
      </c>
      <c r="E9" s="8" t="s">
        <v>79</v>
      </c>
      <c r="F9" s="8" t="s">
        <v>55</v>
      </c>
      <c r="G9" s="8"/>
      <c r="H9" s="8"/>
      <c r="I9" s="8" t="s">
        <v>80</v>
      </c>
      <c r="J9" s="8" t="s">
        <v>22</v>
      </c>
      <c r="K9" s="8"/>
      <c r="L9" s="8" t="s">
        <v>81</v>
      </c>
      <c r="M9" s="8"/>
      <c r="N9" s="8"/>
      <c r="O9" s="8" t="s">
        <v>82</v>
      </c>
    </row>
    <row r="10" customFormat="false" ht="19.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 t="s">
        <v>83</v>
      </c>
    </row>
    <row r="11" customFormat="false" ht="19.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 t="s">
        <v>84</v>
      </c>
    </row>
    <row r="12" customFormat="false" ht="19.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 t="s">
        <v>85</v>
      </c>
    </row>
    <row r="13" customFormat="false" ht="19.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 t="s">
        <v>86</v>
      </c>
    </row>
    <row r="14" customFormat="false" ht="19.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 t="s">
        <v>87</v>
      </c>
    </row>
    <row r="15" customFormat="false" ht="19.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10" t="s">
        <v>88</v>
      </c>
    </row>
    <row r="16" customFormat="false" ht="19.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 t="s">
        <v>89</v>
      </c>
    </row>
    <row r="17" customFormat="false" ht="19.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 t="s">
        <v>90</v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</sheetData>
  <dataValidations count="3">
    <dataValidation allowBlank="true" errorStyle="stop" operator="between" showDropDown="false" showErrorMessage="false" showInputMessage="false" sqref="A6:A200" type="list">
      <formula1>"High,Medium,Low"</formula1>
      <formula2>0</formula2>
    </dataValidation>
    <dataValidation allowBlank="true" errorStyle="stop" operator="between" showDropDown="false" showErrorMessage="false" showInputMessage="false" sqref="B6:B200" type="list">
      <formula1>"Media,Nonprofit / Community Org,Chamber / Business Assoc.,Business,Individual,Government / Consulate"</formula1>
      <formula2>0</formula2>
    </dataValidation>
    <dataValidation allowBlank="true" errorStyle="stop" operator="between" showDropDown="false" showErrorMessage="false" showInputMessage="false" sqref="J6:J200" type="list">
      <formula1>"Not Contacted,Contacted,Follow-up Needed,Meeting Scheduled,Partnered,Declined / Not a Fit"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2026-08-20T00:59:45Z</dcterms:created>
  <dc:creator>openpyxl</dc:creator>
  <dc:description/>
  <dc:language>en-US</dc:language>
  <cp:lastModifiedBy/>
  <dcterms:modified xsi:type="dcterms:W3CDTF">2026-08-20T00:59:45Z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